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計算ルール概要" sheetId="1" state="visible" r:id="rId1"/>
    <sheet name="サロン価格率" sheetId="2" state="visible" r:id="rId2"/>
    <sheet name="KB早見表" sheetId="3" state="visible" r:id="rId3"/>
    <sheet name="計算例" sheetId="4" state="visible" r:id="rId4"/>
    <sheet name="代理店設定項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"/>
  </numFmts>
  <fonts count="7">
    <font>
      <name val="Calibri"/>
      <family val="2"/>
      <color theme="1"/>
      <sz val="11"/>
      <scheme val="minor"/>
    </font>
    <font>
      <name val="Arial"/>
      <b val="1"/>
      <color rgb="001E1B4B"/>
      <sz val="14"/>
    </font>
    <font>
      <name val="Arial"/>
      <color rgb="00666666"/>
      <sz val="9"/>
    </font>
    <font>
      <name val="Arial"/>
      <b val="1"/>
      <color rgb="004F46E5"/>
      <sz val="12"/>
    </font>
    <font>
      <name val="Consolas"/>
      <color rgb="000000FF"/>
      <sz val="11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0F0FF"/>
      </patternFill>
    </fill>
    <fill>
      <patternFill patternType="solid">
        <fgColor rgb="00F0FFF0"/>
      </patternFill>
    </fill>
    <fill>
      <patternFill patternType="solid">
        <fgColor rgb="00FFF7ED"/>
      </patternFill>
    </fill>
    <fill>
      <patternFill patternType="solid">
        <fgColor rgb="00FFFF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64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164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</cols>
  <sheetData>
    <row r="1">
      <c r="A1" s="1" t="inlineStr">
        <is>
          <t>VAVITTE KB計算ルール 最終確定版</t>
        </is>
      </c>
    </row>
    <row r="2">
      <c r="A2" s="2" t="inlineStr">
        <is>
          <t>作成日: 2026年4月13日</t>
        </is>
      </c>
    </row>
    <row r="4">
      <c r="A4" s="3" t="inlineStr">
        <is>
          <t>基本計算式</t>
        </is>
      </c>
    </row>
    <row r="5">
      <c r="A5" s="4" t="inlineStr">
        <is>
          <t>KB = 定価 x (サロン価格率 - 代理店原価率) x 数量</t>
        </is>
      </c>
    </row>
    <row r="7">
      <c r="A7" s="3" t="inlineStr">
        <is>
          <t>定価の逆算</t>
        </is>
      </c>
    </row>
    <row r="8">
      <c r="A8" s="4" t="inlineStr">
        <is>
          <t>定価 = BカートAPI最高単価 / 0.65</t>
        </is>
      </c>
    </row>
    <row r="9">
      <c r="A9" s="2" t="inlineStr">
        <is>
          <t>※最高単価 = サロン1-5個価格(定価の65%)</t>
        </is>
      </c>
    </row>
    <row r="11">
      <c r="A11" s="3" t="inlineStr">
        <is>
          <t>判定の優先順位</t>
        </is>
      </c>
    </row>
    <row r="12">
      <c r="A12" s="5" t="inlineStr">
        <is>
          <t>1. 代理店にKB掛け率が設定されているか? → 未設定なら従来方式(5/13, 1/3)</t>
        </is>
      </c>
    </row>
    <row r="13">
      <c r="A13" s="5" t="inlineStr">
        <is>
          <t>2. ミカエル or 6+1 を含むか? → ミカエル計算(セット価格/6/0.60)</t>
        </is>
      </c>
    </row>
    <row r="14">
      <c r="A14" s="5" t="inlineStr">
        <is>
          <t>3. エンジェル or 業務用 を含むか? → 常に65%(数量無関係)</t>
        </is>
      </c>
    </row>
    <row r="15">
      <c r="A15" s="5" t="inlineStr">
        <is>
          <t>4. 上記以外(店販用単品) → 1-5個:65%  6個以上:60%</t>
        </is>
      </c>
    </row>
    <row r="17">
      <c r="A17" s="3" t="inlineStr">
        <is>
          <t>その他の控除項目</t>
        </is>
      </c>
    </row>
    <row r="18">
      <c r="A18" s="6" t="inlineStr">
        <is>
          <t>項目</t>
        </is>
      </c>
      <c r="B18" s="6" t="inlineStr">
        <is>
          <t>計算方法</t>
        </is>
      </c>
      <c r="C18" s="6" t="inlineStr"/>
    </row>
    <row r="19">
      <c r="A19" s="7" t="inlineStr">
        <is>
          <t>システム利用料</t>
        </is>
      </c>
      <c r="B19" s="7" t="inlineStr">
        <is>
          <t>KB対象注文件数 x 300円</t>
        </is>
      </c>
      <c r="C19" s="7" t="inlineStr"/>
    </row>
    <row r="20">
      <c r="A20" s="8" t="inlineStr">
        <is>
          <t>決済手数料</t>
        </is>
      </c>
      <c r="B20" s="8" t="inlineStr">
        <is>
          <t>対象決済(クレジット/Paid/代金引換)の売上 x 3%</t>
        </is>
      </c>
      <c r="C20" s="8" t="inlineStr"/>
    </row>
    <row r="21">
      <c r="A21" s="7" t="inlineStr">
        <is>
          <t>消費税</t>
        </is>
      </c>
      <c r="B21" s="7" t="inlineStr">
        <is>
          <t>(KB合計 - システム利用料 - 決済手数料) x 10%</t>
        </is>
      </c>
      <c r="C21" s="7" t="inlineStr"/>
    </row>
    <row r="23">
      <c r="A23" s="3" t="inlineStr">
        <is>
          <t>ソースコード</t>
        </is>
      </c>
    </row>
    <row r="24">
      <c r="A24" s="7" t="inlineStr">
        <is>
          <t>計算関数</t>
        </is>
      </c>
      <c r="B24" s="7" t="inlineStr">
        <is>
          <t>src/pages/KickbackManage.jsx → calcKbFromProduct()</t>
        </is>
      </c>
      <c r="C24" s="7" t="inlineStr"/>
    </row>
    <row r="25">
      <c r="A25" s="8" t="inlineStr">
        <is>
          <t>PDF生成</t>
        </is>
      </c>
      <c r="B25" s="8" t="inlineStr">
        <is>
          <t>src/lib/generateKickbackPdf.js</t>
        </is>
      </c>
      <c r="C25" s="8" t="inlineStr"/>
    </row>
    <row r="26">
      <c r="A26" s="7" t="inlineStr">
        <is>
          <t>代理店設定</t>
        </is>
      </c>
      <c r="B26" s="7" t="inlineStr">
        <is>
          <t>src/pages/Dealers.jsx</t>
        </is>
      </c>
      <c r="C26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A580C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5" customWidth="1" min="3" max="3"/>
    <col width="35" customWidth="1" min="4" max="4"/>
  </cols>
  <sheetData>
    <row r="1">
      <c r="A1" s="1" t="inlineStr">
        <is>
          <t>サロン価格率(商品タイプ別)</t>
        </is>
      </c>
    </row>
    <row r="3">
      <c r="A3" s="6" t="inlineStr">
        <is>
          <t>商品タイプ</t>
        </is>
      </c>
      <c r="B3" s="6" t="inlineStr">
        <is>
          <t>判定条件</t>
        </is>
      </c>
      <c r="C3" s="6" t="inlineStr">
        <is>
          <t>サロン価格率</t>
        </is>
      </c>
      <c r="D3" s="6" t="inlineStr">
        <is>
          <t>備考</t>
        </is>
      </c>
    </row>
    <row r="4">
      <c r="A4" s="8" t="inlineStr">
        <is>
          <t>店販用単品 1-5個</t>
        </is>
      </c>
      <c r="B4" s="8" t="inlineStr">
        <is>
          <t>店販用 かつ 数量1-5</t>
        </is>
      </c>
      <c r="C4" s="8" t="inlineStr">
        <is>
          <t>65%</t>
        </is>
      </c>
      <c r="D4" s="8" t="inlineStr">
        <is>
          <t>通常価格</t>
        </is>
      </c>
    </row>
    <row r="5">
      <c r="A5" s="7" t="inlineStr">
        <is>
          <t>店販用単品 6個以上</t>
        </is>
      </c>
      <c r="B5" s="7" t="inlineStr">
        <is>
          <t>店販用 かつ 数量6以上</t>
        </is>
      </c>
      <c r="C5" s="7" t="inlineStr">
        <is>
          <t>60%</t>
        </is>
      </c>
      <c r="D5" s="7" t="inlineStr">
        <is>
          <t>ボリュームディスカウント</t>
        </is>
      </c>
    </row>
    <row r="6">
      <c r="A6" s="8" t="inlineStr">
        <is>
          <t>業務用単品</t>
        </is>
      </c>
      <c r="B6" s="8" t="inlineStr">
        <is>
          <t>業務用 を含む</t>
        </is>
      </c>
      <c r="C6" s="8" t="inlineStr">
        <is>
          <t>65%(何個でも一律)</t>
        </is>
      </c>
      <c r="D6" s="8" t="inlineStr">
        <is>
          <t>数量に関係なく一律</t>
        </is>
      </c>
    </row>
    <row r="7">
      <c r="A7" s="7" t="inlineStr">
        <is>
          <t>エンジェル</t>
        </is>
      </c>
      <c r="B7" s="7" t="inlineStr">
        <is>
          <t>セット名にエンジェル含む</t>
        </is>
      </c>
      <c r="C7" s="7" t="inlineStr">
        <is>
          <t>65%(何個でも一律)</t>
        </is>
      </c>
      <c r="D7" s="7" t="inlineStr">
        <is>
          <t>業務用と同じ扱い</t>
        </is>
      </c>
    </row>
    <row r="8">
      <c r="A8" s="8" t="inlineStr">
        <is>
          <t>ミカエル/6+1セット</t>
        </is>
      </c>
      <c r="B8" s="8" t="inlineStr">
        <is>
          <t>ミカエル or 6+1 含む</t>
        </is>
      </c>
      <c r="C8" s="8" t="inlineStr">
        <is>
          <t>60%(常に6個計算)</t>
        </is>
      </c>
      <c r="D8" s="8" t="inlineStr">
        <is>
          <t>セット価格/6で単品逆算</t>
        </is>
      </c>
    </row>
    <row r="10">
      <c r="A10" s="1" t="inlineStr">
        <is>
          <t>代理店原価率(一律・代理店ごと設定)</t>
        </is>
      </c>
    </row>
    <row r="12">
      <c r="A12" s="6" t="inlineStr">
        <is>
          <t>代理店タイプ</t>
        </is>
      </c>
      <c r="B12" s="6" t="inlineStr">
        <is>
          <t>原価率</t>
        </is>
      </c>
      <c r="C12" s="6" t="inlineStr">
        <is>
          <t>備考</t>
        </is>
      </c>
      <c r="D12" s="6" t="inlineStr">
        <is>
          <t>設定場所</t>
        </is>
      </c>
    </row>
    <row r="13">
      <c r="A13" s="8" t="inlineStr">
        <is>
          <t>タイプA</t>
        </is>
      </c>
      <c r="B13" s="8" t="inlineStr">
        <is>
          <t>定価 x 45%</t>
        </is>
      </c>
      <c r="C13" s="8" t="inlineStr">
        <is>
          <t>数量に関係なく一律</t>
        </is>
      </c>
      <c r="D13" s="8" t="inlineStr">
        <is>
          <t>代理店管理→詳細→KB掛け率</t>
        </is>
      </c>
    </row>
    <row r="14">
      <c r="A14" s="7" t="inlineStr">
        <is>
          <t>タイプB</t>
        </is>
      </c>
      <c r="B14" s="7" t="inlineStr">
        <is>
          <t>定価 x 40%</t>
        </is>
      </c>
      <c r="C14" s="7" t="inlineStr">
        <is>
          <t>数量に関係なく一律</t>
        </is>
      </c>
      <c r="D14" s="7" t="inlineStr">
        <is>
          <t>同上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35" customWidth="1" min="4" max="4"/>
  </cols>
  <sheetData>
    <row r="1">
      <c r="A1" s="1" t="inlineStr">
        <is>
          <t>KB早見表(定価10,000円の商品)</t>
        </is>
      </c>
    </row>
    <row r="3">
      <c r="A3" s="3" t="inlineStr">
        <is>
          <t>代理店原価率 45%</t>
        </is>
      </c>
    </row>
    <row r="4">
      <c r="A4" s="6" t="inlineStr">
        <is>
          <t>商品タイプ</t>
        </is>
      </c>
      <c r="B4" s="6" t="inlineStr">
        <is>
          <t>1個あたりKB</t>
        </is>
      </c>
      <c r="C4" s="6" t="inlineStr">
        <is>
          <t>セットKB</t>
        </is>
      </c>
      <c r="D4" s="6" t="inlineStr">
        <is>
          <t>計算式</t>
        </is>
      </c>
    </row>
    <row r="5">
      <c r="A5" s="8" t="inlineStr">
        <is>
          <t>店販単品 1-5個</t>
        </is>
      </c>
      <c r="B5" s="9">
        <f>10000*(0.65-0.45)</f>
        <v/>
      </c>
      <c r="C5" s="9" t="inlineStr"/>
      <c r="D5" s="8" t="inlineStr">
        <is>
          <t>10,000 x (65%-45%)</t>
        </is>
      </c>
    </row>
    <row r="6">
      <c r="A6" s="7" t="inlineStr">
        <is>
          <t>店販単品 6個以上</t>
        </is>
      </c>
      <c r="B6" s="10">
        <f>10000*(0.60-0.45)</f>
        <v/>
      </c>
      <c r="C6" s="10" t="inlineStr"/>
      <c r="D6" s="7" t="inlineStr">
        <is>
          <t>10,000 x (60%-45%)</t>
        </is>
      </c>
    </row>
    <row r="7">
      <c r="A7" s="8" t="inlineStr">
        <is>
          <t>業務用/エンジェル</t>
        </is>
      </c>
      <c r="B7" s="9">
        <f>10000*(0.65-0.45)</f>
        <v/>
      </c>
      <c r="C7" s="9" t="inlineStr"/>
      <c r="D7" s="8" t="inlineStr">
        <is>
          <t>10,000 x (65%-45%)</t>
        </is>
      </c>
    </row>
    <row r="8">
      <c r="A8" s="7" t="inlineStr">
        <is>
          <t>ミカエル 1セット</t>
        </is>
      </c>
      <c r="B8" s="10" t="inlineStr"/>
      <c r="C8" s="10">
        <f>10000*(0.60-0.45)*6</f>
        <v/>
      </c>
      <c r="D8" s="7" t="inlineStr">
        <is>
          <t>10,000 x (60%-45%) x 6</t>
        </is>
      </c>
    </row>
    <row r="10">
      <c r="A10" s="3" t="inlineStr">
        <is>
          <t>代理店原価率 40%</t>
        </is>
      </c>
    </row>
    <row r="11">
      <c r="A11" s="6" t="inlineStr">
        <is>
          <t>商品タイプ</t>
        </is>
      </c>
      <c r="B11" s="6" t="inlineStr">
        <is>
          <t>1個あたりKB</t>
        </is>
      </c>
      <c r="C11" s="6" t="inlineStr">
        <is>
          <t>セットKB</t>
        </is>
      </c>
      <c r="D11" s="6" t="inlineStr">
        <is>
          <t>計算式</t>
        </is>
      </c>
    </row>
    <row r="12">
      <c r="A12" s="8" t="inlineStr">
        <is>
          <t>店販単品 1-5個</t>
        </is>
      </c>
      <c r="B12" s="9">
        <f>10000*(0.65-0.40)</f>
        <v/>
      </c>
      <c r="C12" s="9" t="inlineStr"/>
      <c r="D12" s="8" t="inlineStr">
        <is>
          <t>10,000 x (65%-40%)</t>
        </is>
      </c>
    </row>
    <row r="13">
      <c r="A13" s="7" t="inlineStr">
        <is>
          <t>店販単品 6個以上</t>
        </is>
      </c>
      <c r="B13" s="10">
        <f>10000*(0.60-0.40)</f>
        <v/>
      </c>
      <c r="C13" s="10" t="inlineStr"/>
      <c r="D13" s="7" t="inlineStr">
        <is>
          <t>10,000 x (60%-40%)</t>
        </is>
      </c>
    </row>
    <row r="14">
      <c r="A14" s="8" t="inlineStr">
        <is>
          <t>業務用/エンジェル</t>
        </is>
      </c>
      <c r="B14" s="9">
        <f>10000*(0.65-0.40)</f>
        <v/>
      </c>
      <c r="C14" s="9" t="inlineStr"/>
      <c r="D14" s="8" t="inlineStr">
        <is>
          <t>10,000 x (65%-40%)</t>
        </is>
      </c>
    </row>
    <row r="15">
      <c r="A15" s="7" t="inlineStr">
        <is>
          <t>ミカエル 1セット</t>
        </is>
      </c>
      <c r="B15" s="10" t="inlineStr"/>
      <c r="C15" s="10">
        <f>10000*(0.60-0.40)*6</f>
        <v/>
      </c>
      <c r="D15" s="7" t="inlineStr">
        <is>
          <t>10,000 x (60%-40%) x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2626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5" customWidth="1" min="4" max="4"/>
    <col width="15" customWidth="1" min="5" max="5"/>
    <col width="22" customWidth="1" min="6" max="6"/>
    <col width="15" customWidth="1" min="7" max="7"/>
    <col width="40" customWidth="1" min="8" max="8"/>
  </cols>
  <sheetData>
    <row r="1">
      <c r="A1" s="1" t="inlineStr">
        <is>
          <t>KB計算例(代理店原価率 45%)</t>
        </is>
      </c>
    </row>
    <row r="3">
      <c r="A3" s="6" t="inlineStr">
        <is>
          <t>商品名</t>
        </is>
      </c>
      <c r="B3" s="6" t="inlineStr">
        <is>
          <t>Bカート単価</t>
        </is>
      </c>
      <c r="C3" s="6" t="inlineStr">
        <is>
          <t>数量</t>
        </is>
      </c>
      <c r="D3" s="6" t="inlineStr">
        <is>
          <t>最高単価</t>
        </is>
      </c>
      <c r="E3" s="6" t="inlineStr">
        <is>
          <t>定価(逆算)</t>
        </is>
      </c>
      <c r="F3" s="6" t="inlineStr">
        <is>
          <t>サロン価格率</t>
        </is>
      </c>
      <c r="G3" s="6" t="inlineStr">
        <is>
          <t>KB金額</t>
        </is>
      </c>
      <c r="H3" s="6" t="inlineStr">
        <is>
          <t>計算過程</t>
        </is>
      </c>
    </row>
    <row r="4">
      <c r="A4" s="11" t="inlineStr">
        <is>
          <t>ビタミンクリーム50g(店販用単品)</t>
        </is>
      </c>
      <c r="B4" s="12" t="n">
        <v>6500</v>
      </c>
      <c r="C4" s="11" t="n">
        <v>3</v>
      </c>
      <c r="D4" s="12" t="n">
        <v>6500</v>
      </c>
      <c r="E4" s="12">
        <f>D4/0.65</f>
        <v/>
      </c>
      <c r="F4" s="11" t="inlineStr">
        <is>
          <t>65%</t>
        </is>
      </c>
      <c r="G4" s="12">
        <f>E4*(0.65-0.45)*C4</f>
        <v/>
      </c>
      <c r="H4" s="11" t="inlineStr">
        <is>
          <t>定価10,000 x 20% x 3個 = 6,000円</t>
        </is>
      </c>
    </row>
    <row r="5">
      <c r="A5" s="7" t="inlineStr">
        <is>
          <t>ビタミンクリーム50g(店販用単品)</t>
        </is>
      </c>
      <c r="B5" s="10" t="n">
        <v>6000</v>
      </c>
      <c r="C5" s="7" t="n">
        <v>6</v>
      </c>
      <c r="D5" s="10" t="n">
        <v>6500</v>
      </c>
      <c r="E5" s="10">
        <f>D5/0.65</f>
        <v/>
      </c>
      <c r="F5" s="7" t="inlineStr">
        <is>
          <t>60%</t>
        </is>
      </c>
      <c r="G5" s="10">
        <f>E5*(0.60-0.45)*C5</f>
        <v/>
      </c>
      <c r="H5" s="7" t="inlineStr">
        <is>
          <t>定価10,000 x 15% x 6個 = 9,000円</t>
        </is>
      </c>
    </row>
    <row r="6">
      <c r="A6" s="13" t="inlineStr">
        <is>
          <t>ビタミンクリーム50g(業務用単品)</t>
        </is>
      </c>
      <c r="B6" s="14" t="n">
        <v>6500</v>
      </c>
      <c r="C6" s="13" t="n">
        <v>8</v>
      </c>
      <c r="D6" s="14" t="n">
        <v>6500</v>
      </c>
      <c r="E6" s="14">
        <f>D6/0.65</f>
        <v/>
      </c>
      <c r="F6" s="13" t="inlineStr">
        <is>
          <t>65%(業務用一律)</t>
        </is>
      </c>
      <c r="G6" s="14">
        <f>E6*(0.65-0.45)*C6</f>
        <v/>
      </c>
      <c r="H6" s="13" t="inlineStr">
        <is>
          <t>定価10,000 x 20% x 8個 = 16,000円</t>
        </is>
      </c>
    </row>
    <row r="7">
      <c r="A7" s="15" t="inlineStr">
        <is>
          <t>6+1ビタミンクリーム50g(ミカエル)</t>
        </is>
      </c>
      <c r="B7" s="16" t="n">
        <v>36000</v>
      </c>
      <c r="C7" s="15" t="n">
        <v>1</v>
      </c>
      <c r="D7" s="16" t="inlineStr"/>
      <c r="E7" s="16">
        <f>B7/6/0.60</f>
        <v/>
      </c>
      <c r="F7" s="15" t="inlineStr">
        <is>
          <t>60%(ミカエル)</t>
        </is>
      </c>
      <c r="G7" s="16">
        <f>E7*(0.60-0.45)*6*C7</f>
        <v/>
      </c>
      <c r="H7" s="15" t="inlineStr">
        <is>
          <t>セット36,000/6/0.60=定価10,000 x 15% x 6 = 9,000円</t>
        </is>
      </c>
    </row>
    <row r="8">
      <c r="A8" s="11" t="inlineStr">
        <is>
          <t>ビタミンクリーム50g(エンジェル)</t>
        </is>
      </c>
      <c r="B8" s="12" t="n">
        <v>6500</v>
      </c>
      <c r="C8" s="11" t="n">
        <v>6</v>
      </c>
      <c r="D8" s="12" t="n">
        <v>6500</v>
      </c>
      <c r="E8" s="12">
        <f>D8/0.65</f>
        <v/>
      </c>
      <c r="F8" s="11" t="inlineStr">
        <is>
          <t>65%(エンジェル一律)</t>
        </is>
      </c>
      <c r="G8" s="12">
        <f>E8*(0.65-0.45)*C8</f>
        <v/>
      </c>
      <c r="H8" s="11" t="inlineStr">
        <is>
          <t>定価10,000 x 20% x 6個 = 12,000円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333EA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0" customWidth="1" min="3" max="3"/>
  </cols>
  <sheetData>
    <row r="1">
      <c r="A1" s="1" t="inlineStr">
        <is>
          <t>代理店ごとの設定項目</t>
        </is>
      </c>
    </row>
    <row r="3">
      <c r="A3" s="6" t="inlineStr">
        <is>
          <t>設定項目</t>
        </is>
      </c>
      <c r="B3" s="6" t="inlineStr">
        <is>
          <t>説明</t>
        </is>
      </c>
      <c r="C3" s="6" t="inlineStr">
        <is>
          <t>設定場所</t>
        </is>
      </c>
    </row>
    <row r="4">
      <c r="A4" s="8" t="inlineStr">
        <is>
          <t>KB掛け率(%)</t>
        </is>
      </c>
      <c r="B4" s="8" t="inlineStr">
        <is>
          <t>代理店原価率(45 or 40)。未設定なら従来方式</t>
        </is>
      </c>
      <c r="C4" s="8" t="inlineStr">
        <is>
          <t>代理店管理→詳細</t>
        </is>
      </c>
    </row>
    <row r="5">
      <c r="A5" s="7" t="inlineStr">
        <is>
          <t>自社注文を含める</t>
        </is>
      </c>
      <c r="B5" s="7" t="inlineStr">
        <is>
          <t>ONなら代理店自身の注文をKB清算に含める(売掛)</t>
        </is>
      </c>
      <c r="C5" s="7" t="inlineStr">
        <is>
          <t>代理店管理→詳細</t>
        </is>
      </c>
    </row>
    <row r="6">
      <c r="A6" s="8" t="inlineStr">
        <is>
          <t>固定調整項目</t>
        </is>
      </c>
      <c r="B6" s="8" t="inlineStr">
        <is>
          <t>業務委託費など毎月の固定加減算</t>
        </is>
      </c>
      <c r="C6" s="8" t="inlineStr">
        <is>
          <t>代理店管理→詳細</t>
        </is>
      </c>
    </row>
    <row r="7">
      <c r="A7" s="7" t="inlineStr">
        <is>
          <t>KBグループ</t>
        </is>
      </c>
      <c r="B7" s="7" t="inlineStr">
        <is>
          <t>A/B/C グループ分け</t>
        </is>
      </c>
      <c r="C7" s="7" t="inlineStr">
        <is>
          <t>代理店管理→詳細</t>
        </is>
      </c>
    </row>
    <row r="8">
      <c r="A8" s="8" t="inlineStr">
        <is>
          <t>請求書メール</t>
        </is>
      </c>
      <c r="B8" s="8" t="inlineStr">
        <is>
          <t>請求書送付先メールアドレス</t>
        </is>
      </c>
      <c r="C8" s="8" t="inlineStr">
        <is>
          <t>代理店管理→詳細</t>
        </is>
      </c>
    </row>
    <row r="9">
      <c r="A9" s="7" t="inlineStr">
        <is>
          <t>振込先口座</t>
        </is>
      </c>
      <c r="B9" s="7" t="inlineStr">
        <is>
          <t>KB精算の振込先(銀行名/口座番号等)</t>
        </is>
      </c>
      <c r="C9" s="7" t="inlineStr">
        <is>
          <t>代理店管理→詳細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2026-04-12T22:32:39Z</dcterms:created>
  <dcterms:modified xsi:type="dcterms:W3CDTF">2026-04-12T22:32:39Z</dcterms:modified>
</cp:coreProperties>
</file>